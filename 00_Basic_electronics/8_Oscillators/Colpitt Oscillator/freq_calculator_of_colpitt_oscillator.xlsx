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__LEARN\__VLSI__\00_Basic_electronics\8_Oscillators\Colpitt Oscillator\"/>
    </mc:Choice>
  </mc:AlternateContent>
  <xr:revisionPtr revIDLastSave="0" documentId="13_ncr:1_{1AE13B8B-1226-4117-BC26-AC6084038F12}" xr6:coauthVersionLast="47" xr6:coauthVersionMax="47" xr10:uidLastSave="{00000000-0000-0000-0000-000000000000}"/>
  <bookViews>
    <workbookView xWindow="-120" yWindow="-120" windowWidth="20730" windowHeight="11040" xr2:uid="{0F45990D-C282-4025-B59E-334718968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I2" i="1" l="1"/>
  <c r="J2" i="1" s="1"/>
</calcChain>
</file>

<file path=xl/sharedStrings.xml><?xml version="1.0" encoding="utf-8"?>
<sst xmlns="http://schemas.openxmlformats.org/spreadsheetml/2006/main" count="12" uniqueCount="12">
  <si>
    <t>C1 (F)</t>
  </si>
  <si>
    <t>Ceq</t>
  </si>
  <si>
    <t>unit of capacitor</t>
  </si>
  <si>
    <t>u</t>
  </si>
  <si>
    <t>C1 value in faraday</t>
  </si>
  <si>
    <t>C2 value in faraday</t>
  </si>
  <si>
    <t>C2 value</t>
  </si>
  <si>
    <t>inductor</t>
  </si>
  <si>
    <t>unit of inductor</t>
  </si>
  <si>
    <t>n</t>
  </si>
  <si>
    <t>inductor value in Henry</t>
  </si>
  <si>
    <t xml:space="preserve">freq of colpitt oscillator (KHz)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</si>
</sst>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2" borderId="1" xfId="0" applyFill="1" applyBorder="1"/>
    <xf numFmtId="166" fontId="0" fillId="0" borderId="0" xfId="0" applyNumberFormat="1"/>
    <xf numFmtId="166" fontId="0" fillId="0" borderId="2" xfId="0" applyNumberFormat="1" applyFill="1" applyBorder="1"/>
    <xf numFmtId="166" fontId="0" fillId="0" borderId="0" xfId="0" applyNumberFormat="1" applyFill="1" applyBorder="1"/>
    <xf numFmtId="0" fontId="0" fillId="3" borderId="1" xfId="0" applyFill="1" applyBorder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A0D0-C722-4C08-8CE0-6F1B642D04E2}">
  <dimension ref="A1:J2"/>
  <sheetViews>
    <sheetView tabSelected="1" workbookViewId="0">
      <selection activeCell="D2" sqref="D2"/>
    </sheetView>
  </sheetViews>
  <sheetFormatPr defaultRowHeight="15" x14ac:dyDescent="0.25"/>
  <cols>
    <col min="1" max="2" width="9.140625" style="2"/>
    <col min="3" max="3" width="15.42578125" style="2" bestFit="1" customWidth="1"/>
    <col min="4" max="5" width="15.42578125" style="6" customWidth="1"/>
    <col min="6" max="6" width="22" style="5" hidden="1" customWidth="1"/>
    <col min="7" max="7" width="17.85546875" hidden="1" customWidth="1"/>
    <col min="8" max="8" width="17.85546875" style="3" hidden="1" customWidth="1"/>
    <col min="9" max="9" width="0" hidden="1" customWidth="1"/>
    <col min="10" max="10" width="27.85546875" style="1" bestFit="1" customWidth="1"/>
  </cols>
  <sheetData>
    <row r="1" spans="1:10" x14ac:dyDescent="0.25">
      <c r="A1" s="2" t="s">
        <v>0</v>
      </c>
      <c r="B1" s="2" t="s">
        <v>6</v>
      </c>
      <c r="C1" s="2" t="s">
        <v>2</v>
      </c>
      <c r="D1" s="6" t="s">
        <v>7</v>
      </c>
      <c r="E1" s="6" t="s">
        <v>8</v>
      </c>
      <c r="F1" s="4" t="s">
        <v>10</v>
      </c>
      <c r="G1" t="s">
        <v>4</v>
      </c>
      <c r="H1" s="3" t="s">
        <v>5</v>
      </c>
      <c r="I1" t="s">
        <v>1</v>
      </c>
      <c r="J1" s="1" t="s">
        <v>11</v>
      </c>
    </row>
    <row r="2" spans="1:10" x14ac:dyDescent="0.25">
      <c r="A2" s="2">
        <v>1</v>
      </c>
      <c r="B2" s="2">
        <v>100</v>
      </c>
      <c r="C2" s="2" t="s">
        <v>9</v>
      </c>
      <c r="D2" s="6">
        <v>120</v>
      </c>
      <c r="E2" s="6" t="s">
        <v>3</v>
      </c>
      <c r="F2" s="5">
        <f>D2*IF(E2=" ",1,IF(E2="m",0.001,
 IF(E2="u",0.000001,
 IF(E2="n",0.000000001,
 IF(E2="p",0.000000000001,1)))))</f>
        <v>1.1999999999999999E-4</v>
      </c>
      <c r="G2" s="3">
        <f>A2*IF(C2=" ",1,IF(C2="m",0.001,
 IF(C2="u",0.000001,
 IF(C2="n",0.000000001,
 IF(C2="p",0.000000000001,1)))))</f>
        <v>1.0000000000000001E-9</v>
      </c>
      <c r="H2" s="3">
        <f>B2*IF(C2=" ",1,IF(C2="m",0.001,
 IF(C2="u",0.000001,
 IF(C2="n",0.000000001,
 IF(C2="p",0.000000000001,1)))))</f>
        <v>1.0000000000000001E-7</v>
      </c>
      <c r="I2">
        <f xml:space="preserve"> (G2*H2) / (G2 + H2)</f>
        <v>9.9009900990099006E-10</v>
      </c>
      <c r="J2" s="7">
        <f xml:space="preserve"> ( 1/ (2*3.14*SQRT(I2*F2)) ) / 1000</f>
        <v>461.96643273697481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Chauhan</dc:creator>
  <cp:lastModifiedBy>Jayshree Chauhan</cp:lastModifiedBy>
  <dcterms:created xsi:type="dcterms:W3CDTF">2025-12-26T11:44:32Z</dcterms:created>
  <dcterms:modified xsi:type="dcterms:W3CDTF">2025-12-26T13:40:15Z</dcterms:modified>
</cp:coreProperties>
</file>